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rc\proyectos\clone_ag__prueba_pytoflutter_importayaia_v2\referencia-ImportaYAia-python\attached_assets\"/>
    </mc:Choice>
  </mc:AlternateContent>
  <xr:revisionPtr revIDLastSave="0" documentId="13_ncr:1_{37864DAC-F5A4-45B6-97CD-40B37024A313}" xr6:coauthVersionLast="47" xr6:coauthVersionMax="47" xr10:uidLastSave="{00000000-0000-0000-0000-000000000000}"/>
  <bookViews>
    <workbookView xWindow="-108" yWindow="-108" windowWidth="23256" windowHeight="12456" xr2:uid="{C0A05B20-C635-429B-A0ED-631FA24298CC}"/>
  </bookViews>
  <sheets>
    <sheet name="LOCALES DESTINO FCL" sheetId="1" r:id="rId1"/>
    <sheet name="LOCALES DESTINO LCL" sheetId="2" r:id="rId2"/>
    <sheet name="LOCALES DESTINO AERE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1" l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B10" i="1"/>
</calcChain>
</file>

<file path=xl/sharedStrings.xml><?xml version="1.0" encoding="utf-8"?>
<sst xmlns="http://schemas.openxmlformats.org/spreadsheetml/2006/main" count="67" uniqueCount="44">
  <si>
    <t>MSC</t>
  </si>
  <si>
    <t>HMM</t>
  </si>
  <si>
    <t>CMA</t>
  </si>
  <si>
    <t>EMC</t>
  </si>
  <si>
    <t>COSCO</t>
  </si>
  <si>
    <t>OOCL</t>
  </si>
  <si>
    <t>PIL</t>
  </si>
  <si>
    <t>MARFRET</t>
  </si>
  <si>
    <t>ZIM</t>
  </si>
  <si>
    <t>DOLARES / INCLUIDO EMISION EN DESTINO</t>
  </si>
  <si>
    <t>ONE</t>
  </si>
  <si>
    <t>MAERSK si arriba a POD GYE GUAYAQUIL</t>
  </si>
  <si>
    <t>THC destino o DTHC por contenedor</t>
  </si>
  <si>
    <t>Locales destino por MBL</t>
  </si>
  <si>
    <t>Locales destino por contenedor</t>
  </si>
  <si>
    <t>NAVIERAS FCL</t>
  </si>
  <si>
    <t>MAERSK si arriba a POD PSJ POSORJA</t>
  </si>
  <si>
    <t>FEE PROVEEDOR LOGISTICO en MARITIMO FCL x contenedor</t>
  </si>
  <si>
    <t xml:space="preserve">GASTOS LOCALES DESTINO al COSTO NETO </t>
  </si>
  <si>
    <r>
      <t xml:space="preserve">RESUMEN DE GASTOS LOCALES x LINEAS NAVIERAS </t>
    </r>
    <r>
      <rPr>
        <b/>
        <sz val="14"/>
        <color rgb="FF0070C0"/>
        <rFont val="Aptos Narrow"/>
        <family val="2"/>
        <scheme val="minor"/>
      </rPr>
      <t>CON DTHC</t>
    </r>
  </si>
  <si>
    <t>TOTAL LOCALES DESTINO MARITIMO FCL x CADA NAVIERA FCL</t>
  </si>
  <si>
    <t>YML o YANG MING</t>
  </si>
  <si>
    <t>SBM o SEABOARD MARINE</t>
  </si>
  <si>
    <t>WHL</t>
  </si>
  <si>
    <t>HPG</t>
  </si>
  <si>
    <t>VENTA FIJA CON PROFIT MARGIN INCLUIDO x CADA NAVIERA FCL</t>
  </si>
  <si>
    <t>Handling x contenedor IMPORTAYAIA.COM</t>
  </si>
  <si>
    <t>GASTOS LOCALES DESTINO = VENTA IMPORTAYAIA.COM</t>
  </si>
  <si>
    <t>ISD %</t>
  </si>
  <si>
    <t>NO INCLUYE RECARGOS IMO POR CARGA DG PELIGROSA</t>
  </si>
  <si>
    <t>NO INCLUYE COSTOS por DESCARGA EN POSORJA, en el caso el consolidado LCL no arribe a POD GYE Guayaquil, Ecuador.</t>
  </si>
  <si>
    <t>VENTA FIJA DE LOCALES DESTINO APLICAN A TODAS LAS NAVIERAS LCL</t>
  </si>
  <si>
    <t>DESCONSOLIDACION por CBM/TON o MINIMO</t>
  </si>
  <si>
    <t>locales destino FIJO por BL o cada embarque</t>
  </si>
  <si>
    <t>USD 20 x CBM/TON o COSTO MINIMO USD 135 por BL o embarque LCL</t>
  </si>
  <si>
    <t>Se calcula la suma de FLETE LCL TOTAL + GASTOS ORIGEN LCL (solo en CASO DE HABERLOS incoterm FCA y EXW y al resultado se multiplica por 6% o podria aplicar COSTO MINIMO $15, se aplica siempre el que sea mayor.</t>
  </si>
  <si>
    <t>GASTOS LOCALES EN DESTINO SUJETOS A IVA LOCAL 15%:</t>
  </si>
  <si>
    <t>CORTE DE GUIA</t>
  </si>
  <si>
    <t xml:space="preserve">X GUIA AEREA O EMBARQUE AEREO </t>
  </si>
  <si>
    <t>ADMIN FEE</t>
  </si>
  <si>
    <t>HANDLING</t>
  </si>
  <si>
    <t>DESCONSOLIDACION GUIA</t>
  </si>
  <si>
    <t xml:space="preserve">COSTO LOCAL PAGO MANEJO IMPORT </t>
  </si>
  <si>
    <t>Se calcula la suma de FLETE AEREO TOTAL + GASTOS ORIGEN AEREO (solo en CASO DE HABERLOS incoterm FCA y EXW y al resultado se multiplica por 6% o podria aplicar COSTO MINIMO USD 25.00 POR GUIA AEREA, se aplica siempre el que sea mayor.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</si>
</sst>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$-300A]* #,##0.00_ ;_ [$$-300A]* \-#,##0.00_ ;_ [$$-300A]* &quot;-&quot;??_ ;_ @_ 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8" xfId="0" applyBorder="1"/>
    <xf numFmtId="0" fontId="0" fillId="0" borderId="9" xfId="0" applyBorder="1"/>
    <xf numFmtId="0" fontId="1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/>
    <xf numFmtId="0" fontId="1" fillId="0" borderId="10" xfId="0" applyFont="1" applyBorder="1"/>
    <xf numFmtId="0" fontId="1" fillId="0" borderId="1" xfId="0" applyFont="1" applyBorder="1"/>
    <xf numFmtId="164" fontId="0" fillId="0" borderId="4" xfId="0" applyNumberForma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10" fontId="1" fillId="0" borderId="0" xfId="0" applyNumberFormat="1" applyFont="1" applyAlignment="1">
      <alignment horizontal="left"/>
    </xf>
    <xf numFmtId="0" fontId="1" fillId="5" borderId="0" xfId="0" applyFont="1" applyFill="1"/>
    <xf numFmtId="0" fontId="0" fillId="5" borderId="0" xfId="0" applyFill="1" applyAlignment="1">
      <alignment horizontal="center"/>
    </xf>
    <xf numFmtId="164" fontId="0" fillId="0" borderId="4" xfId="0" applyNumberFormat="1" applyBorder="1"/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5FDB-82D8-450B-8481-25D155683B34}">
  <dimension ref="A1:Q19"/>
  <sheetViews>
    <sheetView tabSelected="1" workbookViewId="0">
      <selection activeCell="D20" sqref="D20"/>
    </sheetView>
  </sheetViews>
  <sheetFormatPr baseColWidth="10" defaultRowHeight="14.4" x14ac:dyDescent="0.3"/>
  <cols>
    <col min="1" max="1" width="54.6640625" customWidth="1"/>
    <col min="4" max="4" width="32.77734375" bestFit="1" customWidth="1"/>
    <col min="5" max="5" width="30" bestFit="1" customWidth="1"/>
    <col min="13" max="13" width="21.33203125" bestFit="1" customWidth="1"/>
    <col min="17" max="17" width="16.21875" customWidth="1"/>
  </cols>
  <sheetData>
    <row r="1" spans="1:17" ht="15" thickBot="1" x14ac:dyDescent="0.35"/>
    <row r="2" spans="1:17" ht="18" x14ac:dyDescent="0.35">
      <c r="A2" s="29" t="s">
        <v>19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1"/>
    </row>
    <row r="3" spans="1:17" ht="15" thickBot="1" x14ac:dyDescent="0.35">
      <c r="A3" s="3"/>
      <c r="Q3" s="4"/>
    </row>
    <row r="4" spans="1:17" ht="15" thickBot="1" x14ac:dyDescent="0.35">
      <c r="A4" s="3"/>
      <c r="B4" s="23" t="s">
        <v>15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</row>
    <row r="5" spans="1:17" ht="15" thickBot="1" x14ac:dyDescent="0.35">
      <c r="A5" s="6" t="s">
        <v>18</v>
      </c>
      <c r="B5" s="7" t="s">
        <v>10</v>
      </c>
      <c r="C5" s="8" t="s">
        <v>24</v>
      </c>
      <c r="D5" s="8" t="s">
        <v>11</v>
      </c>
      <c r="E5" s="8" t="s">
        <v>16</v>
      </c>
      <c r="F5" s="8" t="s">
        <v>0</v>
      </c>
      <c r="G5" s="8" t="s">
        <v>1</v>
      </c>
      <c r="H5" s="8" t="s">
        <v>2</v>
      </c>
      <c r="I5" s="8" t="s">
        <v>3</v>
      </c>
      <c r="J5" s="8" t="s">
        <v>23</v>
      </c>
      <c r="K5" s="8" t="s">
        <v>4</v>
      </c>
      <c r="L5" s="8" t="s">
        <v>5</v>
      </c>
      <c r="M5" s="8" t="s">
        <v>22</v>
      </c>
      <c r="N5" s="8" t="s">
        <v>6</v>
      </c>
      <c r="O5" s="8" t="s">
        <v>7</v>
      </c>
      <c r="P5" s="8" t="s">
        <v>8</v>
      </c>
      <c r="Q5" s="8" t="s">
        <v>21</v>
      </c>
    </row>
    <row r="6" spans="1:17" ht="15" thickBot="1" x14ac:dyDescent="0.35">
      <c r="A6" s="5" t="s">
        <v>13</v>
      </c>
      <c r="B6" s="12">
        <v>100</v>
      </c>
      <c r="C6" s="12">
        <v>130</v>
      </c>
      <c r="D6" s="12">
        <v>100</v>
      </c>
      <c r="E6" s="12">
        <v>100</v>
      </c>
      <c r="F6" s="12">
        <v>265</v>
      </c>
      <c r="G6" s="12">
        <v>120</v>
      </c>
      <c r="H6" s="12">
        <v>100</v>
      </c>
      <c r="I6" s="12">
        <v>290</v>
      </c>
      <c r="J6" s="12">
        <v>135</v>
      </c>
      <c r="K6" s="12">
        <v>145</v>
      </c>
      <c r="L6" s="12">
        <v>90</v>
      </c>
      <c r="M6" s="12">
        <v>115</v>
      </c>
      <c r="N6" s="12">
        <v>190</v>
      </c>
      <c r="O6" s="12">
        <v>160</v>
      </c>
      <c r="P6" s="12">
        <v>160</v>
      </c>
      <c r="Q6" s="12">
        <v>160</v>
      </c>
    </row>
    <row r="7" spans="1:17" ht="15" thickBot="1" x14ac:dyDescent="0.35">
      <c r="A7" s="5" t="s">
        <v>12</v>
      </c>
      <c r="B7" s="12">
        <v>200</v>
      </c>
      <c r="C7" s="12">
        <v>192</v>
      </c>
      <c r="D7" s="12">
        <v>205</v>
      </c>
      <c r="E7" s="12">
        <v>190</v>
      </c>
      <c r="F7" s="12">
        <v>200</v>
      </c>
      <c r="G7" s="12">
        <v>200</v>
      </c>
      <c r="H7" s="12">
        <v>210</v>
      </c>
      <c r="I7" s="12">
        <v>200</v>
      </c>
      <c r="J7" s="13">
        <v>225</v>
      </c>
      <c r="K7" s="12">
        <v>175</v>
      </c>
      <c r="L7" s="12">
        <v>175</v>
      </c>
      <c r="M7" s="12">
        <v>195</v>
      </c>
      <c r="N7" s="12">
        <v>195</v>
      </c>
      <c r="O7" s="12">
        <v>210</v>
      </c>
      <c r="P7" s="12">
        <v>200</v>
      </c>
      <c r="Q7" s="12">
        <v>175</v>
      </c>
    </row>
    <row r="8" spans="1:17" ht="15" thickBot="1" x14ac:dyDescent="0.35">
      <c r="A8" s="10" t="s">
        <v>14</v>
      </c>
      <c r="B8" s="12">
        <v>324</v>
      </c>
      <c r="C8" s="12">
        <v>230</v>
      </c>
      <c r="D8" s="12">
        <v>305</v>
      </c>
      <c r="E8" s="12">
        <v>305</v>
      </c>
      <c r="F8" s="12">
        <v>302</v>
      </c>
      <c r="G8" s="12">
        <v>395</v>
      </c>
      <c r="H8" s="12">
        <v>158</v>
      </c>
      <c r="I8" s="12">
        <v>120</v>
      </c>
      <c r="J8" s="12">
        <v>315</v>
      </c>
      <c r="K8" s="12">
        <v>289</v>
      </c>
      <c r="L8" s="12">
        <v>279</v>
      </c>
      <c r="M8" s="12">
        <v>443</v>
      </c>
      <c r="N8" s="12">
        <v>420</v>
      </c>
      <c r="O8" s="12">
        <v>335</v>
      </c>
      <c r="P8" s="12">
        <v>360</v>
      </c>
      <c r="Q8" s="12">
        <v>335</v>
      </c>
    </row>
    <row r="9" spans="1:17" ht="15" thickBot="1" x14ac:dyDescent="0.35">
      <c r="A9" s="11" t="s">
        <v>17</v>
      </c>
      <c r="B9" s="12">
        <v>100</v>
      </c>
      <c r="C9" s="12">
        <v>100</v>
      </c>
      <c r="D9" s="12">
        <v>100</v>
      </c>
      <c r="E9" s="12">
        <v>100</v>
      </c>
      <c r="F9" s="12">
        <v>100</v>
      </c>
      <c r="G9" s="12">
        <v>100</v>
      </c>
      <c r="H9" s="12">
        <v>100</v>
      </c>
      <c r="I9" s="12">
        <v>100</v>
      </c>
      <c r="J9" s="12">
        <v>100</v>
      </c>
      <c r="K9" s="12">
        <v>100</v>
      </c>
      <c r="L9" s="12">
        <v>100</v>
      </c>
      <c r="M9" s="12">
        <v>100</v>
      </c>
      <c r="N9" s="12">
        <v>100</v>
      </c>
      <c r="O9" s="12">
        <v>100</v>
      </c>
      <c r="P9" s="12">
        <v>100</v>
      </c>
      <c r="Q9" s="14">
        <v>100</v>
      </c>
    </row>
    <row r="10" spans="1:17" ht="15" thickBot="1" x14ac:dyDescent="0.35">
      <c r="A10" s="1" t="s">
        <v>20</v>
      </c>
      <c r="B10" s="12">
        <f>B6+B8+B7+B9</f>
        <v>724</v>
      </c>
      <c r="C10" s="12">
        <f t="shared" ref="C10:Q10" si="0">C6+C8+C7+C9</f>
        <v>652</v>
      </c>
      <c r="D10" s="12">
        <f t="shared" si="0"/>
        <v>710</v>
      </c>
      <c r="E10" s="12">
        <f t="shared" si="0"/>
        <v>695</v>
      </c>
      <c r="F10" s="12">
        <f t="shared" si="0"/>
        <v>867</v>
      </c>
      <c r="G10" s="12">
        <f t="shared" si="0"/>
        <v>815</v>
      </c>
      <c r="H10" s="12">
        <f t="shared" si="0"/>
        <v>568</v>
      </c>
      <c r="I10" s="12">
        <f t="shared" si="0"/>
        <v>710</v>
      </c>
      <c r="J10" s="12">
        <f t="shared" si="0"/>
        <v>775</v>
      </c>
      <c r="K10" s="12">
        <f t="shared" si="0"/>
        <v>709</v>
      </c>
      <c r="L10" s="12">
        <f t="shared" si="0"/>
        <v>644</v>
      </c>
      <c r="M10" s="12">
        <f t="shared" si="0"/>
        <v>853</v>
      </c>
      <c r="N10" s="12">
        <f t="shared" si="0"/>
        <v>905</v>
      </c>
      <c r="O10" s="12">
        <f t="shared" si="0"/>
        <v>805</v>
      </c>
      <c r="P10" s="12">
        <f t="shared" si="0"/>
        <v>820</v>
      </c>
      <c r="Q10" s="14">
        <f t="shared" si="0"/>
        <v>770</v>
      </c>
    </row>
    <row r="11" spans="1:17" ht="15" thickBot="1" x14ac:dyDescent="0.35">
      <c r="A11" s="26" t="s">
        <v>9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8"/>
    </row>
    <row r="12" spans="1:17" ht="15" thickBot="1" x14ac:dyDescent="0.35"/>
    <row r="13" spans="1:17" ht="15" thickBot="1" x14ac:dyDescent="0.35">
      <c r="B13" s="22" t="s">
        <v>15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15" thickBot="1" x14ac:dyDescent="0.35">
      <c r="A14" s="6" t="s">
        <v>27</v>
      </c>
      <c r="B14" s="7" t="s">
        <v>10</v>
      </c>
      <c r="C14" s="8" t="s">
        <v>24</v>
      </c>
      <c r="D14" s="8" t="s">
        <v>11</v>
      </c>
      <c r="E14" s="8" t="s">
        <v>16</v>
      </c>
      <c r="F14" s="8" t="s">
        <v>0</v>
      </c>
      <c r="G14" s="8" t="s">
        <v>1</v>
      </c>
      <c r="H14" s="8" t="s">
        <v>2</v>
      </c>
      <c r="I14" s="8" t="s">
        <v>3</v>
      </c>
      <c r="J14" s="8" t="s">
        <v>23</v>
      </c>
      <c r="K14" s="8" t="s">
        <v>4</v>
      </c>
      <c r="L14" s="8" t="s">
        <v>5</v>
      </c>
      <c r="M14" s="8" t="s">
        <v>22</v>
      </c>
      <c r="N14" s="8" t="s">
        <v>6</v>
      </c>
      <c r="O14" s="8" t="s">
        <v>7</v>
      </c>
      <c r="P14" s="8" t="s">
        <v>8</v>
      </c>
      <c r="Q14" s="8" t="s">
        <v>21</v>
      </c>
    </row>
    <row r="15" spans="1:17" ht="15" thickBot="1" x14ac:dyDescent="0.35">
      <c r="A15" s="5" t="s">
        <v>13</v>
      </c>
      <c r="B15" s="9">
        <v>100</v>
      </c>
      <c r="C15" s="9">
        <v>100</v>
      </c>
      <c r="D15" s="9">
        <v>100</v>
      </c>
      <c r="E15" s="9">
        <v>100</v>
      </c>
      <c r="F15" s="9">
        <v>165</v>
      </c>
      <c r="G15" s="9">
        <v>100</v>
      </c>
      <c r="H15" s="9">
        <v>100</v>
      </c>
      <c r="I15" s="9">
        <v>100</v>
      </c>
      <c r="J15" s="9">
        <v>125</v>
      </c>
      <c r="K15" s="9">
        <v>100</v>
      </c>
      <c r="L15" s="9">
        <v>100</v>
      </c>
      <c r="M15" s="9">
        <v>125</v>
      </c>
      <c r="N15" s="9">
        <v>100</v>
      </c>
      <c r="O15" s="9">
        <v>100</v>
      </c>
      <c r="P15" s="9">
        <v>100</v>
      </c>
      <c r="Q15" s="9">
        <v>100</v>
      </c>
    </row>
    <row r="16" spans="1:17" ht="15" thickBot="1" x14ac:dyDescent="0.35">
      <c r="A16" s="5" t="s">
        <v>12</v>
      </c>
      <c r="B16" s="9">
        <v>200</v>
      </c>
      <c r="C16" s="9">
        <v>200</v>
      </c>
      <c r="D16" s="9">
        <v>200</v>
      </c>
      <c r="E16" s="9">
        <v>200</v>
      </c>
      <c r="F16" s="9">
        <v>195</v>
      </c>
      <c r="G16" s="9">
        <v>200</v>
      </c>
      <c r="H16" s="9">
        <v>200</v>
      </c>
      <c r="I16" s="9">
        <v>200</v>
      </c>
      <c r="J16" s="9">
        <v>225</v>
      </c>
      <c r="K16" s="9">
        <v>200</v>
      </c>
      <c r="L16" s="9">
        <v>200</v>
      </c>
      <c r="M16" s="9">
        <v>200</v>
      </c>
      <c r="N16" s="9">
        <v>200</v>
      </c>
      <c r="O16" s="9">
        <v>200</v>
      </c>
      <c r="P16" s="9">
        <v>200</v>
      </c>
      <c r="Q16" s="9">
        <v>200</v>
      </c>
    </row>
    <row r="17" spans="1:17" ht="15" thickBot="1" x14ac:dyDescent="0.35">
      <c r="A17" s="5" t="s">
        <v>14</v>
      </c>
      <c r="B17" s="9">
        <v>450</v>
      </c>
      <c r="C17" s="9">
        <v>450</v>
      </c>
      <c r="D17" s="9">
        <v>450</v>
      </c>
      <c r="E17" s="9">
        <v>450</v>
      </c>
      <c r="F17" s="9">
        <v>440</v>
      </c>
      <c r="G17" s="9">
        <v>450</v>
      </c>
      <c r="H17" s="9">
        <v>400</v>
      </c>
      <c r="I17" s="9">
        <v>450</v>
      </c>
      <c r="J17" s="9">
        <v>450</v>
      </c>
      <c r="K17" s="9">
        <v>450</v>
      </c>
      <c r="L17" s="9">
        <v>400</v>
      </c>
      <c r="M17" s="9">
        <v>450</v>
      </c>
      <c r="N17" s="9">
        <v>450</v>
      </c>
      <c r="O17" s="9">
        <v>500</v>
      </c>
      <c r="P17" s="9">
        <v>500</v>
      </c>
      <c r="Q17" s="9">
        <v>500</v>
      </c>
    </row>
    <row r="18" spans="1:17" ht="15" thickBot="1" x14ac:dyDescent="0.35">
      <c r="A18" s="5" t="s">
        <v>26</v>
      </c>
      <c r="B18" s="9">
        <v>50</v>
      </c>
      <c r="C18" s="9">
        <v>50</v>
      </c>
      <c r="D18" s="9">
        <v>50</v>
      </c>
      <c r="E18" s="9">
        <v>50</v>
      </c>
      <c r="F18" s="9">
        <v>50</v>
      </c>
      <c r="G18" s="9">
        <v>50</v>
      </c>
      <c r="H18" s="9">
        <v>50</v>
      </c>
      <c r="I18" s="9">
        <v>50</v>
      </c>
      <c r="J18" s="9">
        <v>50</v>
      </c>
      <c r="K18" s="9">
        <v>50</v>
      </c>
      <c r="L18" s="9">
        <v>50</v>
      </c>
      <c r="M18" s="9">
        <v>100</v>
      </c>
      <c r="N18" s="9">
        <v>100</v>
      </c>
      <c r="O18" s="9">
        <v>50</v>
      </c>
      <c r="P18" s="9">
        <v>50</v>
      </c>
      <c r="Q18" s="9">
        <v>50</v>
      </c>
    </row>
    <row r="19" spans="1:17" ht="15" thickBot="1" x14ac:dyDescent="0.35">
      <c r="A19" s="1" t="s">
        <v>25</v>
      </c>
      <c r="B19" s="9">
        <f>SUM(B15:B18)</f>
        <v>800</v>
      </c>
      <c r="C19" s="9">
        <f t="shared" ref="C19:Q19" si="1">SUM(C15:C18)</f>
        <v>800</v>
      </c>
      <c r="D19" s="9">
        <f t="shared" si="1"/>
        <v>800</v>
      </c>
      <c r="E19" s="9">
        <f t="shared" si="1"/>
        <v>800</v>
      </c>
      <c r="F19" s="9">
        <f t="shared" si="1"/>
        <v>850</v>
      </c>
      <c r="G19" s="9">
        <f t="shared" si="1"/>
        <v>800</v>
      </c>
      <c r="H19" s="9">
        <f t="shared" si="1"/>
        <v>750</v>
      </c>
      <c r="I19" s="9">
        <f t="shared" si="1"/>
        <v>800</v>
      </c>
      <c r="J19" s="9">
        <f t="shared" si="1"/>
        <v>850</v>
      </c>
      <c r="K19" s="9">
        <f t="shared" si="1"/>
        <v>800</v>
      </c>
      <c r="L19" s="9">
        <f t="shared" si="1"/>
        <v>750</v>
      </c>
      <c r="M19" s="9">
        <f t="shared" si="1"/>
        <v>875</v>
      </c>
      <c r="N19" s="9">
        <f t="shared" si="1"/>
        <v>850</v>
      </c>
      <c r="O19" s="9">
        <f t="shared" si="1"/>
        <v>850</v>
      </c>
      <c r="P19" s="9">
        <f t="shared" si="1"/>
        <v>850</v>
      </c>
      <c r="Q19" s="9">
        <f t="shared" si="1"/>
        <v>850</v>
      </c>
    </row>
  </sheetData>
  <mergeCells count="4">
    <mergeCell ref="B13:Q13"/>
    <mergeCell ref="B4:Q4"/>
    <mergeCell ref="A11:Q11"/>
    <mergeCell ref="A2:Q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6D88-7E30-49B5-9CB1-4E806B2430F2}">
  <dimension ref="A2:B10"/>
  <sheetViews>
    <sheetView topLeftCell="B1" workbookViewId="0">
      <selection activeCell="B5" sqref="B5"/>
    </sheetView>
  </sheetViews>
  <sheetFormatPr baseColWidth="10" defaultColWidth="52.44140625" defaultRowHeight="14.4" x14ac:dyDescent="0.3"/>
  <cols>
    <col min="1" max="1" width="40.77734375" customWidth="1"/>
    <col min="2" max="2" width="178.88671875" bestFit="1" customWidth="1"/>
  </cols>
  <sheetData>
    <row r="2" spans="1:2" x14ac:dyDescent="0.3">
      <c r="A2" s="32"/>
      <c r="B2" s="32"/>
    </row>
    <row r="3" spans="1:2" x14ac:dyDescent="0.3">
      <c r="A3" s="15"/>
      <c r="B3" s="16" t="s">
        <v>31</v>
      </c>
    </row>
    <row r="4" spans="1:2" x14ac:dyDescent="0.3">
      <c r="A4" s="17" t="s">
        <v>32</v>
      </c>
      <c r="B4" s="2" t="s">
        <v>34</v>
      </c>
    </row>
    <row r="5" spans="1:2" x14ac:dyDescent="0.3">
      <c r="A5" s="18" t="s">
        <v>28</v>
      </c>
      <c r="B5" s="2" t="s">
        <v>35</v>
      </c>
    </row>
    <row r="6" spans="1:2" x14ac:dyDescent="0.3">
      <c r="A6" s="19" t="s">
        <v>33</v>
      </c>
      <c r="B6" s="20">
        <v>100</v>
      </c>
    </row>
    <row r="7" spans="1:2" x14ac:dyDescent="0.3">
      <c r="A7" s="33"/>
      <c r="B7" s="34"/>
    </row>
    <row r="9" spans="1:2" x14ac:dyDescent="0.3">
      <c r="A9" t="s">
        <v>29</v>
      </c>
    </row>
    <row r="10" spans="1:2" x14ac:dyDescent="0.3">
      <c r="A10" t="s">
        <v>30</v>
      </c>
    </row>
  </sheetData>
  <mergeCells count="2">
    <mergeCell ref="A2:B2"/>
    <mergeCell ref="A7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45CA-D339-44C4-AA22-0B9115BFF53E}">
  <dimension ref="B5:E12"/>
  <sheetViews>
    <sheetView topLeftCell="A4" workbookViewId="0">
      <selection activeCell="D16" sqref="D16"/>
    </sheetView>
  </sheetViews>
  <sheetFormatPr baseColWidth="10" defaultRowHeight="14.4" x14ac:dyDescent="0.3"/>
  <cols>
    <col min="2" max="2" width="48.5546875" bestFit="1" customWidth="1"/>
    <col min="3" max="3" width="17.88671875" customWidth="1"/>
    <col min="4" max="4" width="21" customWidth="1"/>
    <col min="5" max="5" width="59.44140625" customWidth="1"/>
  </cols>
  <sheetData>
    <row r="5" spans="2:5" ht="15" thickBot="1" x14ac:dyDescent="0.35"/>
    <row r="6" spans="2:5" ht="15" thickBot="1" x14ac:dyDescent="0.35">
      <c r="B6" s="36" t="s">
        <v>36</v>
      </c>
      <c r="C6" s="37"/>
      <c r="D6" s="37"/>
      <c r="E6" s="38"/>
    </row>
    <row r="7" spans="2:5" ht="15" thickBot="1" x14ac:dyDescent="0.35"/>
    <row r="8" spans="2:5" ht="15" thickBot="1" x14ac:dyDescent="0.35">
      <c r="B8" s="9" t="s">
        <v>37</v>
      </c>
      <c r="C8" s="21">
        <v>35</v>
      </c>
      <c r="D8" s="9" t="s">
        <v>38</v>
      </c>
      <c r="E8" s="9"/>
    </row>
    <row r="9" spans="2:5" ht="15" thickBot="1" x14ac:dyDescent="0.35">
      <c r="B9" s="9" t="s">
        <v>39</v>
      </c>
      <c r="C9" s="21">
        <v>50</v>
      </c>
      <c r="D9" s="9" t="s">
        <v>38</v>
      </c>
      <c r="E9" s="9"/>
    </row>
    <row r="10" spans="2:5" ht="15" thickBot="1" x14ac:dyDescent="0.35">
      <c r="B10" s="9" t="s">
        <v>40</v>
      </c>
      <c r="C10" s="21">
        <v>50</v>
      </c>
      <c r="D10" s="9" t="s">
        <v>38</v>
      </c>
      <c r="E10" s="9"/>
    </row>
    <row r="11" spans="2:5" ht="15" thickBot="1" x14ac:dyDescent="0.35">
      <c r="B11" s="9" t="s">
        <v>41</v>
      </c>
      <c r="C11" s="21">
        <v>15</v>
      </c>
      <c r="D11" s="9" t="s">
        <v>38</v>
      </c>
      <c r="E11" s="9"/>
    </row>
    <row r="12" spans="2:5" ht="62.4" customHeight="1" thickBot="1" x14ac:dyDescent="0.35">
      <c r="B12" s="9" t="s">
        <v>42</v>
      </c>
      <c r="C12" s="35" t="s">
        <v>43</v>
      </c>
      <c r="D12" s="35"/>
      <c r="E12" s="35"/>
    </row>
  </sheetData>
  <mergeCells count="2">
    <mergeCell ref="C12:E12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LOCALES DESTINO FCL</vt:lpstr>
      <vt:lpstr>LOCALES DESTINO LCL</vt:lpstr>
      <vt:lpstr>LOCALES DESTINO AEREO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dcterms:created xsi:type="dcterms:W3CDTF">2025-12-13T20:30:06Z</dcterms:created>
  <dcterms:modified xsi:type="dcterms:W3CDTF">2026-01-02T05:11:46Z</dcterms:modified>
</cp:coreProperties>
</file>