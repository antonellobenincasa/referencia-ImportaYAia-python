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rc\proyectos\clone_ag__prueba_pytoflutter_importayaia_v2\referencia-ImportaYAia-python\attached_assets\"/>
    </mc:Choice>
  </mc:AlternateContent>
  <xr:revisionPtr revIDLastSave="0" documentId="13_ncr:1_{DCE74D3C-D400-4252-93C6-BDA77C04090D}" xr6:coauthVersionLast="47" xr6:coauthVersionMax="47" xr10:uidLastSave="{00000000-0000-0000-0000-000000000000}"/>
  <bookViews>
    <workbookView xWindow="-108" yWindow="-108" windowWidth="23256" windowHeight="12456" activeTab="2" xr2:uid="{C0A05B20-C635-429B-A0ED-631FA24298CC}"/>
  </bookViews>
  <sheets>
    <sheet name="LOCALES DESTINO FCL" sheetId="1" r:id="rId1"/>
    <sheet name="LOCALES DESTINO LCL" sheetId="2" r:id="rId2"/>
    <sheet name="LOCALES DESTINO AERE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<sst xmlns="http://schemas.openxmlformats.org/spreadsheetml/2006/main" count="45" uniqueCount="42">
  <si>
    <t>MSC</t>
  </si>
  <si>
    <t>HMM</t>
  </si>
  <si>
    <t>CMA</t>
  </si>
  <si>
    <t>EMC</t>
  </si>
  <si>
    <t>COSCO</t>
  </si>
  <si>
    <t>OOCL</t>
  </si>
  <si>
    <t>PIL</t>
  </si>
  <si>
    <t>MARFRET</t>
  </si>
  <si>
    <t>ZIM</t>
  </si>
  <si>
    <t>DOLARES / INCLUIDO EMISION EN DESTINO</t>
  </si>
  <si>
    <t>ONE</t>
  </si>
  <si>
    <t>MAERSK si arriba a POD GYE GUAYAQUIL</t>
  </si>
  <si>
    <t>THC destino o DTHC por contenedor</t>
  </si>
  <si>
    <t>Locales destino por MBL</t>
  </si>
  <si>
    <t>Locales destino por contenedor</t>
  </si>
  <si>
    <t>NAVIERAS FCL</t>
  </si>
  <si>
    <t>MAERSK si arriba a POD PSJ POSORJA</t>
  </si>
  <si>
    <r>
      <t xml:space="preserve">RESUMEN DE GASTOS LOCALES x LINEAS NAVIERAS </t>
    </r>
    <r>
      <rPr>
        <b/>
        <sz val="14"/>
        <color rgb="FF0070C0"/>
        <rFont val="Aptos Narrow"/>
        <family val="2"/>
        <scheme val="minor"/>
      </rPr>
      <t>CON DTHC</t>
    </r>
  </si>
  <si>
    <t>YML o YANG MING</t>
  </si>
  <si>
    <t>SBM o SEABOARD MARINE</t>
  </si>
  <si>
    <t>WHL</t>
  </si>
  <si>
    <t>HPG</t>
  </si>
  <si>
    <t>VENTA FIJA CON PROFIT MARGIN INCLUIDO x CADA NAVIERA FCL</t>
  </si>
  <si>
    <t>Handling x contenedor IMPORTAYAIA.COM</t>
  </si>
  <si>
    <t>GASTOS LOCALES DESTINO = VENTA IMPORTAYAIA.COM</t>
  </si>
  <si>
    <t>ISD %</t>
  </si>
  <si>
    <t>NO INCLUYE RECARGOS IMO POR CARGA DG PELIGROSA</t>
  </si>
  <si>
    <t>NO INCLUYE COSTOS por DESCARGA EN POSORJA, en el caso el consolidado LCL no arribe a POD GYE Guayaquil, Ecuador.</t>
  </si>
  <si>
    <t>VENTA FIJA DE LOCALES DESTINO APLICAN A TODAS LAS NAVIERAS LCL</t>
  </si>
  <si>
    <t>DESCONSOLIDACION por CBM/TON o MINIMO</t>
  </si>
  <si>
    <t>locales destino FIJO por BL o cada embarque</t>
  </si>
  <si>
    <t>Se calcula la suma de FLETE LCL TOTAL + GASTOS ORIGEN LCL (solo en CASO DE HABERLOS incoterm FCA y EXW y al resultado se multiplica por 6% o podria aplicar COSTO MINIMO $15, se aplica siempre el que sea mayor.</t>
  </si>
  <si>
    <t>GASTOS LOCALES EN DESTINO SUJETOS A IVA LOCAL 15%:</t>
  </si>
  <si>
    <t>CORTE DE GUIA</t>
  </si>
  <si>
    <t xml:space="preserve">X GUIA AEREA O EMBARQUE AEREO </t>
  </si>
  <si>
    <t>ADMIN FEE</t>
  </si>
  <si>
    <t>HANDLING</t>
  </si>
  <si>
    <t>DESCONSOLIDACION GUIA</t>
  </si>
  <si>
    <t xml:space="preserve">COSTO LOCAL PAGO MANEJO IMPORT </t>
  </si>
  <si>
    <t>Se calcula la suma de FLETE AEREO TOTAL + GASTOS ORIGEN AEREO (solo en CASO DE HABERLOS incoterm FCA y EXW y al resultado se multiplica por 6% o podria aplicar COSTO MINIMO USD 25.00 POR GUIA AEREA, se aplica siempre el que sea mayor.</t>
  </si>
  <si>
    <t>USD 20 x CBM o TON o COSTO MINIMO USD 135 por BL o embarque LCL</t>
  </si>
  <si>
    <t>USD 100 x BL de carga LCL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</si>
</sst>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$-300A]* #,##0.00_ ;_ [$$-300A]* \-#,##0.00_ ;_ [$$-300A]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1" xfId="0" applyFill="1" applyBorder="1"/>
    <xf numFmtId="0" fontId="1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/>
    <xf numFmtId="164" fontId="0" fillId="0" borderId="4" xfId="0" applyNumberFormat="1" applyBorder="1"/>
    <xf numFmtId="0" fontId="4" fillId="4" borderId="4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4" fillId="0" borderId="9" xfId="0" applyFont="1" applyBorder="1"/>
    <xf numFmtId="10" fontId="1" fillId="0" borderId="10" xfId="0" applyNumberFormat="1" applyFont="1" applyBorder="1" applyAlignment="1">
      <alignment horizontal="left"/>
    </xf>
    <xf numFmtId="0" fontId="1" fillId="5" borderId="11" xfId="0" applyFont="1" applyFill="1" applyBorder="1"/>
    <xf numFmtId="0" fontId="4" fillId="0" borderId="10" xfId="0" applyFont="1" applyBorder="1"/>
    <xf numFmtId="0" fontId="4" fillId="0" borderId="0" xfId="0" applyFont="1"/>
    <xf numFmtId="0" fontId="1" fillId="4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5FDB-82D8-450B-8481-25D155683B34}">
  <sheetPr>
    <pageSetUpPr fitToPage="1"/>
  </sheetPr>
  <dimension ref="A1:Q10"/>
  <sheetViews>
    <sheetView zoomScaleNormal="100" workbookViewId="0">
      <selection activeCell="A2" sqref="A2:Q10"/>
    </sheetView>
  </sheetViews>
  <sheetFormatPr baseColWidth="10" defaultRowHeight="14.4" x14ac:dyDescent="0.3"/>
  <cols>
    <col min="1" max="1" width="54" bestFit="1" customWidth="1"/>
    <col min="2" max="3" width="4.44140625" bestFit="1" customWidth="1"/>
    <col min="4" max="4" width="32.77734375" bestFit="1" customWidth="1"/>
    <col min="5" max="5" width="30" bestFit="1" customWidth="1"/>
    <col min="6" max="6" width="4.5546875" bestFit="1" customWidth="1"/>
    <col min="7" max="7" width="4.88671875" bestFit="1" customWidth="1"/>
    <col min="8" max="9" width="4.5546875" bestFit="1" customWidth="1"/>
    <col min="10" max="10" width="4.6640625" bestFit="1" customWidth="1"/>
    <col min="11" max="11" width="6.88671875" bestFit="1" customWidth="1"/>
    <col min="12" max="12" width="5.5546875" bestFit="1" customWidth="1"/>
    <col min="13" max="13" width="21.33203125" bestFit="1" customWidth="1"/>
    <col min="14" max="14" width="4" bestFit="1" customWidth="1"/>
    <col min="15" max="15" width="8.33203125" bestFit="1" customWidth="1"/>
    <col min="16" max="16" width="4" bestFit="1" customWidth="1"/>
    <col min="17" max="17" width="15" bestFit="1" customWidth="1"/>
  </cols>
  <sheetData>
    <row r="1" spans="1:17" ht="15" thickBot="1" x14ac:dyDescent="0.35"/>
    <row r="2" spans="1:17" ht="18.600000000000001" thickBot="1" x14ac:dyDescent="0.4">
      <c r="A2" s="21" t="s">
        <v>17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3"/>
    </row>
    <row r="3" spans="1:17" ht="15" thickBot="1" x14ac:dyDescent="0.35">
      <c r="A3" s="18" t="s">
        <v>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20"/>
    </row>
    <row r="4" spans="1:17" ht="15" thickBot="1" x14ac:dyDescent="0.35">
      <c r="B4" s="17" t="s">
        <v>15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ht="43.8" customHeight="1" thickBot="1" x14ac:dyDescent="0.35">
      <c r="A5" s="3" t="s">
        <v>24</v>
      </c>
      <c r="B5" s="4" t="s">
        <v>10</v>
      </c>
      <c r="C5" s="5" t="s">
        <v>21</v>
      </c>
      <c r="D5" s="5" t="s">
        <v>11</v>
      </c>
      <c r="E5" s="5" t="s">
        <v>16</v>
      </c>
      <c r="F5" s="5" t="s">
        <v>0</v>
      </c>
      <c r="G5" s="5" t="s">
        <v>1</v>
      </c>
      <c r="H5" s="5" t="s">
        <v>2</v>
      </c>
      <c r="I5" s="5" t="s">
        <v>3</v>
      </c>
      <c r="J5" s="5" t="s">
        <v>20</v>
      </c>
      <c r="K5" s="5" t="s">
        <v>4</v>
      </c>
      <c r="L5" s="5" t="s">
        <v>5</v>
      </c>
      <c r="M5" s="5" t="s">
        <v>19</v>
      </c>
      <c r="N5" s="5" t="s">
        <v>6</v>
      </c>
      <c r="O5" s="5" t="s">
        <v>7</v>
      </c>
      <c r="P5" s="5" t="s">
        <v>8</v>
      </c>
      <c r="Q5" s="5" t="s">
        <v>18</v>
      </c>
    </row>
    <row r="6" spans="1:17" ht="15" thickBot="1" x14ac:dyDescent="0.35">
      <c r="A6" s="2" t="s">
        <v>13</v>
      </c>
      <c r="B6" s="6">
        <v>100</v>
      </c>
      <c r="C6" s="6">
        <v>100</v>
      </c>
      <c r="D6" s="6">
        <v>100</v>
      </c>
      <c r="E6" s="6">
        <v>100</v>
      </c>
      <c r="F6" s="6">
        <v>165</v>
      </c>
      <c r="G6" s="6">
        <v>100</v>
      </c>
      <c r="H6" s="6">
        <v>100</v>
      </c>
      <c r="I6" s="6">
        <v>100</v>
      </c>
      <c r="J6" s="6">
        <v>125</v>
      </c>
      <c r="K6" s="6">
        <v>100</v>
      </c>
      <c r="L6" s="6">
        <v>100</v>
      </c>
      <c r="M6" s="6">
        <v>125</v>
      </c>
      <c r="N6" s="6">
        <v>100</v>
      </c>
      <c r="O6" s="6">
        <v>100</v>
      </c>
      <c r="P6" s="6">
        <v>100</v>
      </c>
      <c r="Q6" s="6">
        <v>100</v>
      </c>
    </row>
    <row r="7" spans="1:17" ht="15" thickBot="1" x14ac:dyDescent="0.35">
      <c r="A7" s="2" t="s">
        <v>12</v>
      </c>
      <c r="B7" s="6">
        <v>200</v>
      </c>
      <c r="C7" s="6">
        <v>200</v>
      </c>
      <c r="D7" s="6">
        <v>200</v>
      </c>
      <c r="E7" s="6">
        <v>200</v>
      </c>
      <c r="F7" s="6">
        <v>195</v>
      </c>
      <c r="G7" s="6">
        <v>200</v>
      </c>
      <c r="H7" s="6">
        <v>200</v>
      </c>
      <c r="I7" s="6">
        <v>200</v>
      </c>
      <c r="J7" s="6">
        <v>225</v>
      </c>
      <c r="K7" s="6">
        <v>200</v>
      </c>
      <c r="L7" s="6">
        <v>200</v>
      </c>
      <c r="M7" s="6">
        <v>200</v>
      </c>
      <c r="N7" s="6">
        <v>200</v>
      </c>
      <c r="O7" s="6">
        <v>200</v>
      </c>
      <c r="P7" s="6">
        <v>200</v>
      </c>
      <c r="Q7" s="6">
        <v>200</v>
      </c>
    </row>
    <row r="8" spans="1:17" ht="15" thickBot="1" x14ac:dyDescent="0.35">
      <c r="A8" s="2" t="s">
        <v>14</v>
      </c>
      <c r="B8" s="6">
        <v>450</v>
      </c>
      <c r="C8" s="6">
        <v>450</v>
      </c>
      <c r="D8" s="6">
        <v>450</v>
      </c>
      <c r="E8" s="6">
        <v>450</v>
      </c>
      <c r="F8" s="6">
        <v>440</v>
      </c>
      <c r="G8" s="6">
        <v>450</v>
      </c>
      <c r="H8" s="6">
        <v>400</v>
      </c>
      <c r="I8" s="6">
        <v>450</v>
      </c>
      <c r="J8" s="6">
        <v>450</v>
      </c>
      <c r="K8" s="6">
        <v>450</v>
      </c>
      <c r="L8" s="6">
        <v>400</v>
      </c>
      <c r="M8" s="6">
        <v>450</v>
      </c>
      <c r="N8" s="6">
        <v>450</v>
      </c>
      <c r="O8" s="6">
        <v>500</v>
      </c>
      <c r="P8" s="6">
        <v>500</v>
      </c>
      <c r="Q8" s="6">
        <v>500</v>
      </c>
    </row>
    <row r="9" spans="1:17" ht="15" thickBot="1" x14ac:dyDescent="0.35">
      <c r="A9" s="2" t="s">
        <v>23</v>
      </c>
      <c r="B9" s="6">
        <v>50</v>
      </c>
      <c r="C9" s="6">
        <v>50</v>
      </c>
      <c r="D9" s="6">
        <v>50</v>
      </c>
      <c r="E9" s="6">
        <v>50</v>
      </c>
      <c r="F9" s="6">
        <v>50</v>
      </c>
      <c r="G9" s="6">
        <v>50</v>
      </c>
      <c r="H9" s="6">
        <v>50</v>
      </c>
      <c r="I9" s="6">
        <v>50</v>
      </c>
      <c r="J9" s="6">
        <v>50</v>
      </c>
      <c r="K9" s="6">
        <v>50</v>
      </c>
      <c r="L9" s="6">
        <v>50</v>
      </c>
      <c r="M9" s="6">
        <v>100</v>
      </c>
      <c r="N9" s="6">
        <v>100</v>
      </c>
      <c r="O9" s="6">
        <v>50</v>
      </c>
      <c r="P9" s="6">
        <v>50</v>
      </c>
      <c r="Q9" s="6">
        <v>50</v>
      </c>
    </row>
    <row r="10" spans="1:17" ht="15" thickBot="1" x14ac:dyDescent="0.35">
      <c r="A10" s="1" t="s">
        <v>22</v>
      </c>
      <c r="B10" s="6">
        <f>SUM(B6:B9)</f>
        <v>800</v>
      </c>
      <c r="C10" s="6">
        <f t="shared" ref="C10:Q10" si="0">SUM(C6:C9)</f>
        <v>800</v>
      </c>
      <c r="D10" s="6">
        <f t="shared" si="0"/>
        <v>800</v>
      </c>
      <c r="E10" s="6">
        <f t="shared" si="0"/>
        <v>800</v>
      </c>
      <c r="F10" s="6">
        <f t="shared" si="0"/>
        <v>850</v>
      </c>
      <c r="G10" s="6">
        <f t="shared" si="0"/>
        <v>800</v>
      </c>
      <c r="H10" s="6">
        <f t="shared" si="0"/>
        <v>750</v>
      </c>
      <c r="I10" s="6">
        <f t="shared" si="0"/>
        <v>800</v>
      </c>
      <c r="J10" s="6">
        <f t="shared" si="0"/>
        <v>850</v>
      </c>
      <c r="K10" s="6">
        <f t="shared" si="0"/>
        <v>800</v>
      </c>
      <c r="L10" s="6">
        <f t="shared" si="0"/>
        <v>750</v>
      </c>
      <c r="M10" s="6">
        <f t="shared" si="0"/>
        <v>875</v>
      </c>
      <c r="N10" s="6">
        <f t="shared" si="0"/>
        <v>850</v>
      </c>
      <c r="O10" s="6">
        <f t="shared" si="0"/>
        <v>850</v>
      </c>
      <c r="P10" s="6">
        <f t="shared" si="0"/>
        <v>850</v>
      </c>
      <c r="Q10" s="6">
        <f t="shared" si="0"/>
        <v>850</v>
      </c>
    </row>
  </sheetData>
  <mergeCells count="3">
    <mergeCell ref="B4:Q4"/>
    <mergeCell ref="A3:Q3"/>
    <mergeCell ref="A2:Q2"/>
  </mergeCells>
  <pageMargins left="0.25" right="0.25" top="0.75" bottom="0.75" header="0.3" footer="0.3"/>
  <pageSetup paperSize="9"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6D88-7E30-49B5-9CB1-4E806B2430F2}">
  <sheetPr>
    <pageSetUpPr fitToPage="1"/>
  </sheetPr>
  <dimension ref="A2:B9"/>
  <sheetViews>
    <sheetView workbookViewId="0">
      <selection activeCell="A15" sqref="A15"/>
    </sheetView>
  </sheetViews>
  <sheetFormatPr baseColWidth="10" defaultColWidth="52.44140625" defaultRowHeight="14.4" x14ac:dyDescent="0.3"/>
  <cols>
    <col min="1" max="1" width="40.77734375" customWidth="1"/>
    <col min="2" max="2" width="178.88671875" bestFit="1" customWidth="1"/>
  </cols>
  <sheetData>
    <row r="2" spans="1:2" ht="15" thickBot="1" x14ac:dyDescent="0.35"/>
    <row r="3" spans="1:2" ht="15" thickBot="1" x14ac:dyDescent="0.35">
      <c r="B3" s="8" t="s">
        <v>28</v>
      </c>
    </row>
    <row r="4" spans="1:2" x14ac:dyDescent="0.3">
      <c r="A4" s="12" t="s">
        <v>29</v>
      </c>
      <c r="B4" s="9" t="s">
        <v>40</v>
      </c>
    </row>
    <row r="5" spans="1:2" x14ac:dyDescent="0.3">
      <c r="A5" s="13" t="s">
        <v>25</v>
      </c>
      <c r="B5" s="10" t="s">
        <v>31</v>
      </c>
    </row>
    <row r="6" spans="1:2" ht="15" thickBot="1" x14ac:dyDescent="0.35">
      <c r="A6" s="14" t="s">
        <v>30</v>
      </c>
      <c r="B6" s="11" t="s">
        <v>41</v>
      </c>
    </row>
    <row r="8" spans="1:2" x14ac:dyDescent="0.3">
      <c r="A8" s="16" t="s">
        <v>26</v>
      </c>
    </row>
    <row r="9" spans="1:2" x14ac:dyDescent="0.3">
      <c r="A9" s="15" t="s">
        <v>27</v>
      </c>
    </row>
  </sheetData>
  <pageMargins left="0.25" right="0.25" top="0.75" bottom="0.75" header="0.3" footer="0.3"/>
  <pageSetup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45CA-D339-44C4-AA22-0B9115BFF53E}">
  <sheetPr>
    <pageSetUpPr fitToPage="1"/>
  </sheetPr>
  <dimension ref="B5:E12"/>
  <sheetViews>
    <sheetView tabSelected="1" topLeftCell="A4" workbookViewId="0">
      <selection activeCell="C19" sqref="C19"/>
    </sheetView>
  </sheetViews>
  <sheetFormatPr baseColWidth="10" defaultRowHeight="14.4" x14ac:dyDescent="0.3"/>
  <cols>
    <col min="1" max="1" width="4.88671875" customWidth="1"/>
    <col min="2" max="2" width="48.5546875" bestFit="1" customWidth="1"/>
    <col min="3" max="3" width="17.88671875" customWidth="1"/>
    <col min="4" max="4" width="21" customWidth="1"/>
    <col min="5" max="5" width="39.77734375" customWidth="1"/>
  </cols>
  <sheetData>
    <row r="5" spans="2:5" ht="15" thickBot="1" x14ac:dyDescent="0.35"/>
    <row r="6" spans="2:5" ht="15" thickBot="1" x14ac:dyDescent="0.35">
      <c r="B6" s="25" t="s">
        <v>32</v>
      </c>
      <c r="C6" s="26"/>
      <c r="D6" s="26"/>
      <c r="E6" s="27"/>
    </row>
    <row r="7" spans="2:5" ht="15" thickBot="1" x14ac:dyDescent="0.35"/>
    <row r="8" spans="2:5" ht="15" thickBot="1" x14ac:dyDescent="0.35">
      <c r="B8" s="6" t="s">
        <v>33</v>
      </c>
      <c r="C8" s="7">
        <v>35</v>
      </c>
      <c r="D8" s="6" t="s">
        <v>34</v>
      </c>
      <c r="E8" s="6"/>
    </row>
    <row r="9" spans="2:5" ht="15" thickBot="1" x14ac:dyDescent="0.35">
      <c r="B9" s="6" t="s">
        <v>35</v>
      </c>
      <c r="C9" s="7">
        <v>50</v>
      </c>
      <c r="D9" s="6" t="s">
        <v>34</v>
      </c>
      <c r="E9" s="6"/>
    </row>
    <row r="10" spans="2:5" ht="15" thickBot="1" x14ac:dyDescent="0.35">
      <c r="B10" s="6" t="s">
        <v>36</v>
      </c>
      <c r="C10" s="7">
        <v>50</v>
      </c>
      <c r="D10" s="6" t="s">
        <v>34</v>
      </c>
      <c r="E10" s="6"/>
    </row>
    <row r="11" spans="2:5" ht="15" thickBot="1" x14ac:dyDescent="0.35">
      <c r="B11" s="6" t="s">
        <v>37</v>
      </c>
      <c r="C11" s="7">
        <v>15</v>
      </c>
      <c r="D11" s="6" t="s">
        <v>34</v>
      </c>
      <c r="E11" s="6"/>
    </row>
    <row r="12" spans="2:5" ht="58.2" customHeight="1" thickBot="1" x14ac:dyDescent="0.35">
      <c r="B12" s="6" t="s">
        <v>38</v>
      </c>
      <c r="C12" s="24" t="s">
        <v>39</v>
      </c>
      <c r="D12" s="24"/>
      <c r="E12" s="24"/>
    </row>
  </sheetData>
  <mergeCells count="2">
    <mergeCell ref="C12:E12"/>
    <mergeCell ref="B6:E6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LOCALES DESTINO FCL</vt:lpstr>
      <vt:lpstr>LOCALES DESTINO LCL</vt:lpstr>
      <vt:lpstr>LOCALES DESTINO AEREO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Antonello Benincasa</dc:creator>
  <cp:lastModifiedBy>Antonello Benincasa</cp:lastModifiedBy>
  <cp:lastPrinted>2026-01-02T05:41:01Z</cp:lastPrinted>
  <dcterms:created xsi:type="dcterms:W3CDTF">2025-12-13T20:30:06Z</dcterms:created>
  <dcterms:modified xsi:type="dcterms:W3CDTF">2026-01-02T05:41:07Z</dcterms:modified>
</cp:coreProperties>
</file>